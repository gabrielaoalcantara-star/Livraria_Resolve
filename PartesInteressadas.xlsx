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 verdade para a parte 1 do tr" sheetId="1" r:id="rId4"/>
  </sheets>
  <definedNames>
    <definedName name="MY_FUNCTION1">LAMBDA(célula, LOWER(INDEX(SPLIT(célula, " "), 1)) &amp; "@livrariaresolve.com.br")</definedName>
  </definedNames>
  <calcPr/>
</workbook>
</file>

<file path=xl/sharedStrings.xml><?xml version="1.0" encoding="utf-8"?>
<sst xmlns="http://schemas.openxmlformats.org/spreadsheetml/2006/main" count="89" uniqueCount="47">
  <si>
    <t>Parte Interessada</t>
  </si>
  <si>
    <t>Nome</t>
  </si>
  <si>
    <t>E-mail</t>
  </si>
  <si>
    <t>Necessidades (What)</t>
  </si>
  <si>
    <t>Motivações (Why)</t>
  </si>
  <si>
    <t>Poder (Org)</t>
  </si>
  <si>
    <t>Influência (Proj)</t>
  </si>
  <si>
    <t>Poder (PLU)</t>
  </si>
  <si>
    <t>Legitimidade</t>
  </si>
  <si>
    <t>Urgência</t>
  </si>
  <si>
    <t>Interesse</t>
  </si>
  <si>
    <t>Engajamento</t>
  </si>
  <si>
    <t>Proprietário</t>
  </si>
  <si>
    <t>Arnaldo Américo</t>
  </si>
  <si>
    <t>Vender livros raros pela internet; Modernizar a empresa</t>
  </si>
  <si>
    <t>Empresa atrasada; Perdendo clientes; Sobrevivência do negócio</t>
  </si>
  <si>
    <t>ALTO</t>
  </si>
  <si>
    <t>APÓIA</t>
  </si>
  <si>
    <t>Diretor</t>
  </si>
  <si>
    <t>Armando Américo</t>
  </si>
  <si>
    <t>Relatórios gerenciais; CRM; Informatização completa</t>
  </si>
  <si>
    <t>Eficiência; Gestão baseada em dados; Preparação para sucessão</t>
  </si>
  <si>
    <t>LIDERA</t>
  </si>
  <si>
    <t>Gerente Geral</t>
  </si>
  <si>
    <t>Bruna Berílio</t>
  </si>
  <si>
    <t>Controle de entregas; Promoções de estoque parado; Integração ERP</t>
  </si>
  <si>
    <t>Controle operacional; Receio de mudança brusca; Eficiência logística</t>
  </si>
  <si>
    <t>MÉDIO</t>
  </si>
  <si>
    <t>RESISTENTE</t>
  </si>
  <si>
    <t>Vendedor</t>
  </si>
  <si>
    <t>Felipe Franciscano</t>
  </si>
  <si>
    <t>Sistema unificado de pedidos; Evitar duplicidade; Suporte à venda</t>
  </si>
  <si>
    <t>Reduzir erros; Agilidade no atendimento; Menos retrabalho</t>
  </si>
  <si>
    <t>BAIXO</t>
  </si>
  <si>
    <t>Vendedora</t>
  </si>
  <si>
    <t>Gabriela Gambra</t>
  </si>
  <si>
    <t>Status de clientes (inadimplentes); Gestão de pagamentos</t>
  </si>
  <si>
    <t>Evitar calotes; Menos reclamações; Organização pessoal</t>
  </si>
  <si>
    <t>Gerente de TI</t>
  </si>
  <si>
    <t>Carlos Castelo</t>
  </si>
  <si>
    <t>Sistema Web; Linux; MySQL; Nuvem; Sem instalação local</t>
  </si>
  <si>
    <t>Facilidade de manutenção; Custos reduzidos; Integração técnica</t>
  </si>
  <si>
    <t>Clientes</t>
  </si>
  <si>
    <t>Colecionadores</t>
  </si>
  <si>
    <t>Comprar online; Pagamentos facilitados (Cartão/Pix)</t>
  </si>
  <si>
    <t>Comodidade; Rapidez na aquisição; Facilidade de pagamento</t>
  </si>
  <si>
    <t>DESCONHECE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</si>
</sst>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na verdade para a parte 1 do t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" displayName="Partes_Interessadas" name="Partes_Interessadas" id="1">
  <tableColumns count="12">
    <tableColumn name="Parte Interessada" id="1"/>
    <tableColumn name="Nome" id="2"/>
    <tableColumn name="E-mail" id="3"/>
    <tableColumn name="Necessidades (What)" id="4"/>
    <tableColumn name="Motivações (Why)" id="5"/>
    <tableColumn name="Poder (Org)" id="6"/>
    <tableColumn name="Influência (Proj)" id="7"/>
    <tableColumn name="Poder (PLU)" id="8"/>
    <tableColumn name="Legitimidade" id="9"/>
    <tableColumn name="Urgência" id="10"/>
    <tableColumn name="Interesse" id="11"/>
    <tableColumn name="Engajamento" id="12"/>
  </tableColumns>
  <tableStyleInfo name="na verdade para a parte 1 do t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16.13"/>
    <col customWidth="1" min="3" max="3" width="41.25"/>
    <col customWidth="1" min="4" max="4" width="53.63"/>
    <col customWidth="1" min="5" max="5" width="14.13"/>
    <col customWidth="1" min="6" max="6" width="17.25"/>
    <col customWidth="1" min="7" max="7" width="14.38"/>
    <col customWidth="1" min="8" max="8" width="15.13"/>
    <col customWidth="1" min="11" max="11" width="15.2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3" t="s">
        <v>12</v>
      </c>
      <c r="B2" s="3" t="s">
        <v>13</v>
      </c>
      <c r="C2" s="3" t="str">
        <f>IFERROR(__xludf.DUMMYFUNCTION("LOWER(INDEX(SPLIT(B2, "" ""), 1)) &amp; ""@livrariaresolve.com.br"""),"arnaldo@livrariaresolve.com.br")</f>
        <v>arnaldo@livrariaresolve.com.br</v>
      </c>
      <c r="D2" s="3" t="s">
        <v>14</v>
      </c>
      <c r="E2" s="3" t="s">
        <v>15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16</v>
      </c>
      <c r="L2" s="3" t="s">
        <v>17</v>
      </c>
    </row>
    <row r="3" ht="22.5" customHeight="1">
      <c r="A3" s="3" t="s">
        <v>18</v>
      </c>
      <c r="B3" s="3" t="s">
        <v>19</v>
      </c>
      <c r="C3" s="3" t="str">
        <f>IFERROR(__xludf.DUMMYFUNCTION("LOWER(INDEX(SPLIT(B3, "" ""), 1)) &amp; ""@livrariaresolve.com.br"""),"armando@livrariaresolve.com.br")</f>
        <v>armando@livrariaresolve.com.br</v>
      </c>
      <c r="D3" s="3" t="s">
        <v>20</v>
      </c>
      <c r="E3" s="3" t="s">
        <v>21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22</v>
      </c>
    </row>
    <row r="4" ht="22.5" customHeight="1">
      <c r="A4" s="3" t="s">
        <v>23</v>
      </c>
      <c r="B4" s="3" t="s">
        <v>24</v>
      </c>
      <c r="C4" s="3" t="str">
        <f>IFERROR(__xludf.DUMMYFUNCTION("LOWER(INDEX(SPLIT(B4, "" ""), 1)) &amp; ""@livrariaresolve.com.br"""),"bruna@livrariaresolve.com.br")</f>
        <v>bruna@livrariaresolve.com.br</v>
      </c>
      <c r="D4" s="3" t="s">
        <v>25</v>
      </c>
      <c r="E4" s="3" t="s">
        <v>26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27</v>
      </c>
      <c r="K4" s="3" t="s">
        <v>16</v>
      </c>
      <c r="L4" s="3" t="s">
        <v>28</v>
      </c>
    </row>
    <row r="5" ht="22.5" customHeight="1">
      <c r="A5" s="3" t="s">
        <v>29</v>
      </c>
      <c r="B5" s="3" t="s">
        <v>30</v>
      </c>
      <c r="C5" s="3" t="str">
        <f>IFERROR(__xludf.DUMMYFUNCTION("LOWER(INDEX(SPLIT(B5, "" ""), 1)) &amp; ""@livrariaresolve.com.br"""),"felipe@livrariaresolve.com.br")</f>
        <v>felipe@livrariaresolve.com.br</v>
      </c>
      <c r="D5" s="3" t="s">
        <v>31</v>
      </c>
      <c r="E5" s="3" t="s">
        <v>32</v>
      </c>
      <c r="F5" s="3" t="s">
        <v>33</v>
      </c>
      <c r="G5" s="3" t="s">
        <v>27</v>
      </c>
      <c r="H5" s="3" t="s">
        <v>33</v>
      </c>
      <c r="I5" s="3" t="s">
        <v>16</v>
      </c>
      <c r="J5" s="3" t="s">
        <v>16</v>
      </c>
      <c r="K5" s="3" t="s">
        <v>16</v>
      </c>
      <c r="L5" s="3" t="s">
        <v>17</v>
      </c>
    </row>
    <row r="6" ht="22.5" customHeight="1">
      <c r="A6" s="3" t="s">
        <v>34</v>
      </c>
      <c r="B6" s="3" t="s">
        <v>35</v>
      </c>
      <c r="C6" s="3" t="str">
        <f>IFERROR(__xludf.DUMMYFUNCTION("LOWER(INDEX(SPLIT(B6, "" ""), 1)) &amp; ""@livrariaresolve.com.br"""),"gabriela@livrariaresolve.com.br")</f>
        <v>gabriela@livrariaresolve.com.br</v>
      </c>
      <c r="D6" s="3" t="s">
        <v>36</v>
      </c>
      <c r="E6" s="3" t="s">
        <v>37</v>
      </c>
      <c r="F6" s="3" t="s">
        <v>33</v>
      </c>
      <c r="G6" s="3" t="s">
        <v>27</v>
      </c>
      <c r="H6" s="3" t="s">
        <v>33</v>
      </c>
      <c r="I6" s="3" t="s">
        <v>16</v>
      </c>
      <c r="J6" s="3" t="s">
        <v>16</v>
      </c>
      <c r="K6" s="3" t="s">
        <v>16</v>
      </c>
      <c r="L6" s="3" t="s">
        <v>17</v>
      </c>
    </row>
    <row r="7" ht="22.5" customHeight="1">
      <c r="A7" s="3" t="s">
        <v>38</v>
      </c>
      <c r="B7" s="3" t="s">
        <v>39</v>
      </c>
      <c r="C7" s="3" t="str">
        <f>IFERROR(__xludf.DUMMYFUNCTION("LOWER(INDEX(SPLIT(B7, "" ""), 1)) &amp; ""@livrariaresolve.com.br"""),"carlos@livrariaresolve.com.br")</f>
        <v>carlos@livrariaresolve.com.br</v>
      </c>
      <c r="D7" s="3" t="s">
        <v>40</v>
      </c>
      <c r="E7" s="3" t="s">
        <v>41</v>
      </c>
      <c r="F7" s="3" t="s">
        <v>27</v>
      </c>
      <c r="G7" s="3" t="s">
        <v>16</v>
      </c>
      <c r="H7" s="3" t="s">
        <v>27</v>
      </c>
      <c r="I7" s="3" t="s">
        <v>16</v>
      </c>
      <c r="J7" s="3" t="s">
        <v>27</v>
      </c>
      <c r="K7" s="3" t="s">
        <v>16</v>
      </c>
      <c r="L7" s="3" t="s">
        <v>17</v>
      </c>
    </row>
    <row r="8" ht="22.5" customHeight="1">
      <c r="A8" s="3" t="s">
        <v>42</v>
      </c>
      <c r="B8" s="3" t="s">
        <v>43</v>
      </c>
      <c r="C8" s="3" t="str">
        <f>IFERROR(__xludf.DUMMYFUNCTION("LOWER(INDEX(SPLIT(B8, "" ""), 1)) &amp; ""@livrariaresolve.com.br"""),"colecionadores@livrariaresolve.com.br")</f>
        <v>colecionadores@livrariaresolve.com.br</v>
      </c>
      <c r="D8" s="3" t="s">
        <v>44</v>
      </c>
      <c r="E8" s="3" t="s">
        <v>45</v>
      </c>
      <c r="F8" s="3" t="s">
        <v>33</v>
      </c>
      <c r="G8" s="3" t="s">
        <v>33</v>
      </c>
      <c r="H8" s="3" t="s">
        <v>33</v>
      </c>
      <c r="I8" s="3" t="s">
        <v>16</v>
      </c>
      <c r="J8" s="3" t="s">
        <v>27</v>
      </c>
      <c r="K8" s="3" t="s">
        <v>27</v>
      </c>
      <c r="L8" s="3" t="s">
        <v>46</v>
      </c>
    </row>
  </sheetData>
  <drawing r:id="rId1"/>
  <tableParts count="1">
    <tablePart r:id="rId3"/>
  </tableParts>
</worksheet>
</file>